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Timeline y materiales por fa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<sst xmlns="http://schemas.openxmlformats.org/spreadsheetml/2006/main" count="181" uniqueCount="118">
  <si>
    <t xml:space="preserve">Go-kart eléctrico — plan de proyecto</t>
  </si>
  <si>
    <t xml:space="preserve">Para el detalle completo, ve a la hoja "Timeline y materiales por fase" →</t>
  </si>
  <si>
    <t xml:space="preserve">Parámetros de este plan</t>
  </si>
  <si>
    <t xml:space="preserve">Constructor</t>
  </si>
  <si>
    <t xml:space="preserve">Experimentado con herramientas y electrónica</t>
  </si>
  <si>
    <t xml:space="preserve">Presupuesto</t>
  </si>
  <si>
    <t xml:space="preserve">Sin límite fijo (se priorizó calidad/rendimiento, no el precio más bajo)</t>
  </si>
  <si>
    <t xml:space="preserve">Piloto</t>
  </si>
  <si>
    <t xml:space="preserve">Adulto</t>
  </si>
  <si>
    <t xml:space="preserve">Motor recomendado</t>
  </si>
  <si>
    <t xml:space="preserve">Brushless 72V 3000W con controlador (kit completo)</t>
  </si>
  <si>
    <t xml:space="preserve">Batería recomendada</t>
  </si>
  <si>
    <t xml:space="preserve">Litio 72V ~32Ah con BMS</t>
  </si>
  <si>
    <t xml:space="preserve">Chasis</t>
  </si>
  <si>
    <t xml:space="preserve">Tubería de acero soldada, 1"x1" cal. 11</t>
  </si>
  <si>
    <t xml:space="preserve">Totales</t>
  </si>
  <si>
    <t xml:space="preserve">Timeline estimado</t>
  </si>
  <si>
    <t xml:space="preserve">5 semanas a ritmo de tardes/fines de semana (~3 semanas si es tiempo completo)</t>
  </si>
  <si>
    <t xml:space="preserve">Presupuesto total estimado</t>
  </si>
  <si>
    <t xml:space="preserve">Cómo usar este archivo</t>
  </si>
  <si>
    <t xml:space="preserve">• Hay una sola hoja de detalle: "Timeline y materiales por fase". Cada fase muestra, en este orden: cuándo se hace (semana), qué se hace (tarea y notas), y su lista de materiales con precio y total.</t>
  </si>
  <si>
    <t xml:space="preserve">• El precio total de cada artículo y los subtotales son fórmulas (Cantidad × Precio unitario) — si cambias una cantidad o un precio, todo se recalcula solo, incluido el total general.</t>
  </si>
  <si>
    <t xml:space="preserve">• Los precios de motor, batería y frenos vienen de listados reales verificados en agosto 2026 (VEVOR, Chakra Battery, eBay/Amazon); tubería, tornillería y consumibles menores son estimados típicos — confirma con tu proveedor local antes de comprar.</t>
  </si>
  <si>
    <t xml:space="preserve">Timeline y materiales, fase por fase</t>
  </si>
  <si>
    <t xml:space="preserve">Cada bloque = una fase: cuándo se hace, qué se hace, y justo debajo, qué comprar para esa fase.</t>
  </si>
  <si>
    <t xml:space="preserve">FASE 0 — DISEÑO Y PEDIDOS   ·   Semana 1</t>
  </si>
  <si>
    <t xml:space="preserve">Tarea (Semana 1):</t>
  </si>
  <si>
    <t xml:space="preserve">Confirmar dimensiones finales según tu estatura, cerrar el plano del chasis, y ordenar motor+controlador, batería y kit de frenos.</t>
  </si>
  <si>
    <t xml:space="preserve">Nota:</t>
  </si>
  <si>
    <t xml:space="preserve">Ordénalos primero: son los que más tardan en llegar (1-3 semanas de envío).</t>
  </si>
  <si>
    <t xml:space="preserve">Sin materiales propios en esta fase — es de planeación y compra.</t>
  </si>
  <si>
    <t xml:space="preserve">FASE 1 — MOTORES   ·   Semana 1 y Semana 3</t>
  </si>
  <si>
    <t xml:space="preserve">Construir el motor de aprendizaje (bobina + pila + imán) para practicar el principio con las manos.</t>
  </si>
  <si>
    <t xml:space="preserve">En paralelo mientras llegan los pedidos; no bloquea nada más.</t>
  </si>
  <si>
    <t xml:space="preserve">Tarea (Semana 3):</t>
  </si>
  <si>
    <t xml:space="preserve">Recibir el motor real y montarlo en su soporte sobre el chasis.</t>
  </si>
  <si>
    <t xml:space="preserve">Depende de que haya llegado el pedido de la Semana 1.</t>
  </si>
  <si>
    <t xml:space="preserve">Artículo</t>
  </si>
  <si>
    <t xml:space="preserve">Cantidad</t>
  </si>
  <si>
    <t xml:space="preserve">Precio unitario (USD)</t>
  </si>
  <si>
    <t xml:space="preserve">Precio total (USD)</t>
  </si>
  <si>
    <t xml:space="preserve">Dónde conseguirlo</t>
  </si>
  <si>
    <t xml:space="preserve">Pila de 9V (motor de aprendizaje)</t>
  </si>
  <si>
    <t xml:space="preserve">Ferretería / tienda electrónica</t>
  </si>
  <si>
    <t xml:space="preserve">Alambre de cobre esmaltado cal. 22 (rollo)</t>
  </si>
  <si>
    <t xml:space="preserve">Tienda electrónica</t>
  </si>
  <si>
    <t xml:space="preserve">Imán de neodimio pequeño</t>
  </si>
  <si>
    <t xml:space="preserve">Motor brushless 72V 3000W + controlador + acelerador (kit)</t>
  </si>
  <si>
    <t xml:space="preserve">VEVOR / Amazon — precio verificado ago. 2026</t>
  </si>
  <si>
    <t xml:space="preserve">Subtotal de esta fase</t>
  </si>
  <si>
    <t xml:space="preserve">FASE 2 — TRACCIÓN   ·   Semana 3</t>
  </si>
  <si>
    <t xml:space="preserve">Montar eje trasero, catalina, cadena y ruedas traseras; alinear la cadena.</t>
  </si>
  <si>
    <t xml:space="preserve">Una cadena mal alineada se desgasta rápido — revisa con regla antes de tensar.</t>
  </si>
  <si>
    <t xml:space="preserve">Catalina trasera ~60-72 dientes (cadena T8F)</t>
  </si>
  <si>
    <t xml:space="preserve">ElectricScooterParts / eBay</t>
  </si>
  <si>
    <t xml:space="preserve">Cadena T8F, tramo ~1.5 m</t>
  </si>
  <si>
    <t xml:space="preserve">Eje trasero de acero 1" (a la medida)</t>
  </si>
  <si>
    <t xml:space="preserve">Proveedor de metales local</t>
  </si>
  <si>
    <t xml:space="preserve">Chumaceras/rodamientos de eje</t>
  </si>
  <si>
    <t xml:space="preserve">Ferretería industrial</t>
  </si>
  <si>
    <t xml:space="preserve">Ruedas traseras con llanta 10"</t>
  </si>
  <si>
    <t xml:space="preserve">GoKartSupply / Amazon</t>
  </si>
  <si>
    <t xml:space="preserve">FASE 3 — DIRECCIÓN (geometría Ackermann)   ·   Semana 4</t>
  </si>
  <si>
    <t xml:space="preserve">Tarea (Semana 4):</t>
  </si>
  <si>
    <t xml:space="preserve">Instalar manguetas/pivotes delanteros y verificar la geometría contra el diagrama de Ackermann de la clase.</t>
  </si>
  <si>
    <t xml:space="preserve">El ángulo de la rueda interior debe ser mayor que el de la exterior — repásalo antes de fijar.</t>
  </si>
  <si>
    <t xml:space="preserve">Manguetas/pivotes delanteros (par)</t>
  </si>
  <si>
    <t xml:space="preserve">Tienda de karting — buscar "steering knuckle/spindle kit"</t>
  </si>
  <si>
    <t xml:space="preserve">Ruedas delanteras con llanta 10"</t>
  </si>
  <si>
    <t xml:space="preserve">FASE 4 — MANUBRIO (mando de dirección)   ·   Semana 4</t>
  </si>
  <si>
    <t xml:space="preserve">Montar columna, volante, brazo pitman y barra de acoplamiento; probar el giro completo a mano, sin motor.</t>
  </si>
  <si>
    <t xml:space="preserve">Debe girar suave y sin puntos duros de un tope a otro.</t>
  </si>
  <si>
    <t xml:space="preserve">Volante deportivo + cubo adaptador</t>
  </si>
  <si>
    <t xml:space="preserve">Amazon / tienda de karting</t>
  </si>
  <si>
    <t xml:space="preserve">Columna de dirección con soporte</t>
  </si>
  <si>
    <t xml:space="preserve">Tienda de karting</t>
  </si>
  <si>
    <t xml:space="preserve">Barra de acoplamiento ajustable con rótulas</t>
  </si>
  <si>
    <t xml:space="preserve">Tienda de karting — su largo define la geometría Ackermann</t>
  </si>
  <si>
    <t xml:space="preserve">Brazo pitman</t>
  </si>
  <si>
    <t xml:space="preserve">FASE 5 — CHASIS   ·   Semana 2 y Semana 3</t>
  </si>
  <si>
    <t xml:space="preserve">Tarea (Semana 2):</t>
  </si>
  <si>
    <t xml:space="preserve">Cortar tubería a medida, armar en escuadra sobre superficie plana, soldadura de punto (tack weld) de todo el bastidor.</t>
  </si>
  <si>
    <t xml:space="preserve">Verifica escuadra y diagonales iguales antes de pasar a soldadura final.</t>
  </si>
  <si>
    <t xml:space="preserve">Soldadura final de todas las uniones, esmerilado, y pintura/primer anticorrosivo.</t>
  </si>
  <si>
    <t xml:space="preserve">Deja curar la pintura antes de montar piezas encima.</t>
  </si>
  <si>
    <t xml:space="preserve">Tubería cuadrada de acero 1"x1" cal. 11 (tramo 20 ft)</t>
  </si>
  <si>
    <t xml:space="preserve">Proveedor de metales local — precio de referencia, confirma localmente</t>
  </si>
  <si>
    <t xml:space="preserve">Placa/angular para soportes de motor y eje</t>
  </si>
  <si>
    <t xml:space="preserve">Consumibles de soldadura (electrodo o alambre MIG)</t>
  </si>
  <si>
    <t xml:space="preserve">Pintura/primer anticorrosivo</t>
  </si>
  <si>
    <t xml:space="preserve">Ferretería</t>
  </si>
  <si>
    <t xml:space="preserve">Asiento tipo kart con respaldo</t>
  </si>
  <si>
    <t xml:space="preserve">Cinturón de seguridad 4 puntos</t>
  </si>
  <si>
    <t xml:space="preserve">Tienda de karting / racing</t>
  </si>
  <si>
    <t xml:space="preserve">FASE 6 — SEGURIDAD Y SISTEMA ELÉCTRICO   ·   Semana 4</t>
  </si>
  <si>
    <t xml:space="preserve">Cablear batería, fusible e interruptor de corte de emergencia; instalar y purgar los frenos.</t>
  </si>
  <si>
    <t xml:space="preserve">Prueba frenos y kill switch ANTES de energizar el motor por primera vez.</t>
  </si>
  <si>
    <t xml:space="preserve">Batería de litio 72V ~32Ah con BMS</t>
  </si>
  <si>
    <t xml:space="preserve">Chakra Battery u similar — precio verificado ago. 2026</t>
  </si>
  <si>
    <t xml:space="preserve">Cargador para batería 72V</t>
  </si>
  <si>
    <t xml:space="preserve">Mismo proveedor de la batería</t>
  </si>
  <si>
    <t xml:space="preserve">Kit de freno de disco hidráulico trasero</t>
  </si>
  <si>
    <t xml:space="preserve">eBay / OMB Warehouse — rango real $100-250 según kit</t>
  </si>
  <si>
    <t xml:space="preserve">Interruptor de corte de emergencia (kill switch, cable de tirón) — no negociable</t>
  </si>
  <si>
    <t xml:space="preserve">Interruptor/desconectador principal de batería</t>
  </si>
  <si>
    <t xml:space="preserve">Fusible + portafusibles (según amperaje del motor)</t>
  </si>
  <si>
    <t xml:space="preserve">Cable calibre grueso (rollo, según amperaje)</t>
  </si>
  <si>
    <t xml:space="preserve">Casco — no negociable</t>
  </si>
  <si>
    <t xml:space="preserve">Tienda de deportes / motociclismo</t>
  </si>
  <si>
    <t xml:space="preserve">💡</t>
  </si>
  <si>
    <t xml:space="preserve">La batería de litio cuesta ~$400-500 más que una de plomo-ácido equivalente, pero pesa menos y aguanta muchos más ciclos de carga — con presupuesto abierto, litio es la recomendación.</t>
  </si>
  <si>
    <t xml:space="preserve">FASE 7 — ENSAMBLAJE FINAL Y PRUEBAS   ·   Semana 5</t>
  </si>
  <si>
    <t xml:space="preserve">Tarea (Semana 5):</t>
  </si>
  <si>
    <t xml:space="preserve">Instalar detalles finales, revisar el checklist de seguridad completo, y hacer las primeras pruebas a potencia mínima en espacio abierto y plano.</t>
  </si>
  <si>
    <t xml:space="preserve">Protocolo en orden: motor solo (ruedas en el aire) → dirección a mano → frenos estático → primera arrancada a potencia mínima.</t>
  </si>
  <si>
    <t xml:space="preserve">Tornillería, remaches y abrazaderas varias</t>
  </si>
  <si>
    <t xml:space="preserve">Espejo retrovisor (opcional)</t>
  </si>
  <si>
    <t xml:space="preserve">TOTAL GENERAL — TODAS LAS FASES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</si>
</sst>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4E5F"/>
      <name val="Arial"/>
      <family val="0"/>
      <charset val="1"/>
    </font>
    <font>
      <sz val="9"/>
      <color rgb="FF6B6B6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F4E5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4F7A8C"/>
        <bgColor rgb="FF6B6B6B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7A8C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6" min="3" style="0" width="18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5" customFormat="false" ht="15" hidden="false" customHeight="false" outlineLevel="0" collapsed="false">
      <c r="B5" s="3" t="s">
        <v>2</v>
      </c>
    </row>
    <row r="6" customFormat="false" ht="15" hidden="false" customHeight="true" outlineLevel="0" collapsed="false">
      <c r="B6" s="3" t="s">
        <v>3</v>
      </c>
      <c r="C6" s="4" t="s">
        <v>4</v>
      </c>
      <c r="D6" s="4"/>
      <c r="E6" s="4"/>
      <c r="F6" s="4"/>
    </row>
    <row r="7" customFormat="false" ht="15" hidden="false" customHeight="true" outlineLevel="0" collapsed="false">
      <c r="B7" s="3" t="s">
        <v>5</v>
      </c>
      <c r="C7" s="4" t="s">
        <v>6</v>
      </c>
      <c r="D7" s="4"/>
      <c r="E7" s="4"/>
      <c r="F7" s="4"/>
    </row>
    <row r="8" customFormat="false" ht="15" hidden="false" customHeight="true" outlineLevel="0" collapsed="false">
      <c r="B8" s="3" t="s">
        <v>7</v>
      </c>
      <c r="C8" s="4" t="s">
        <v>8</v>
      </c>
      <c r="D8" s="4"/>
      <c r="E8" s="4"/>
      <c r="F8" s="4"/>
    </row>
    <row r="9" customFormat="false" ht="15" hidden="false" customHeight="true" outlineLevel="0" collapsed="false">
      <c r="B9" s="3" t="s">
        <v>9</v>
      </c>
      <c r="C9" s="4" t="s">
        <v>10</v>
      </c>
      <c r="D9" s="4"/>
      <c r="E9" s="4"/>
      <c r="F9" s="4"/>
    </row>
    <row r="10" customFormat="false" ht="15" hidden="false" customHeight="true" outlineLevel="0" collapsed="false">
      <c r="B10" s="3" t="s">
        <v>11</v>
      </c>
      <c r="C10" s="4" t="s">
        <v>12</v>
      </c>
      <c r="D10" s="4"/>
      <c r="E10" s="4"/>
      <c r="F10" s="4"/>
    </row>
    <row r="11" customFormat="false" ht="15" hidden="false" customHeight="true" outlineLevel="0" collapsed="false">
      <c r="B11" s="3" t="s">
        <v>13</v>
      </c>
      <c r="C11" s="4" t="s">
        <v>14</v>
      </c>
      <c r="D11" s="4"/>
      <c r="E11" s="4"/>
      <c r="F11" s="4"/>
    </row>
    <row r="13" customFormat="false" ht="15" hidden="false" customHeight="false" outlineLevel="0" collapsed="false">
      <c r="B13" s="3" t="s">
        <v>15</v>
      </c>
    </row>
    <row r="14" customFormat="false" ht="15" hidden="false" customHeight="true" outlineLevel="0" collapsed="false">
      <c r="B14" s="3" t="s">
        <v>16</v>
      </c>
      <c r="C14" s="4" t="s">
        <v>17</v>
      </c>
      <c r="D14" s="4"/>
      <c r="E14" s="4"/>
      <c r="F14" s="4"/>
    </row>
    <row r="15" customFormat="false" ht="16.15" hidden="false" customHeight="false" outlineLevel="0" collapsed="false">
      <c r="B15" s="3" t="s">
        <v>18</v>
      </c>
      <c r="C15" s="5" t="n">
        <f aca="false">'Timeline y materiales por fase'!D87</f>
        <v>2029</v>
      </c>
    </row>
    <row r="17" customFormat="false" ht="15" hidden="false" customHeight="false" outlineLevel="0" collapsed="false">
      <c r="B17" s="3" t="s">
        <v>19</v>
      </c>
    </row>
    <row r="18" customFormat="false" ht="30" hidden="false" customHeight="true" outlineLevel="0" collapsed="false">
      <c r="B18" s="6" t="s">
        <v>20</v>
      </c>
      <c r="C18" s="6"/>
      <c r="D18" s="6"/>
      <c r="E18" s="6"/>
      <c r="F18" s="6"/>
    </row>
    <row r="19" customFormat="false" ht="30" hidden="false" customHeight="true" outlineLevel="0" collapsed="false">
      <c r="B19" s="6" t="s">
        <v>21</v>
      </c>
      <c r="C19" s="6"/>
      <c r="D19" s="6"/>
      <c r="E19" s="6"/>
      <c r="F19" s="6"/>
    </row>
    <row r="20" customFormat="false" ht="30" hidden="false" customHeight="true" outlineLevel="0" collapsed="false">
      <c r="B20" s="6" t="s">
        <v>22</v>
      </c>
      <c r="C20" s="6"/>
      <c r="D20" s="6"/>
      <c r="E20" s="6"/>
      <c r="F20" s="6"/>
    </row>
  </sheetData>
  <mergeCells count="12">
    <mergeCell ref="B2:F2"/>
    <mergeCell ref="B3:F3"/>
    <mergeCell ref="C6:F6"/>
    <mergeCell ref="C7:F7"/>
    <mergeCell ref="C8:F8"/>
    <mergeCell ref="C9:F9"/>
    <mergeCell ref="C10:F10"/>
    <mergeCell ref="C11:F11"/>
    <mergeCell ref="C14:F14"/>
    <mergeCell ref="B18:F18"/>
    <mergeCell ref="B19:F19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4" min="3" style="0" width="15"/>
    <col collapsed="false" customWidth="true" hidden="false" outlineLevel="0" max="5" min="5" style="0" width="34"/>
  </cols>
  <sheetData>
    <row r="1" customFormat="false" ht="19.7" hidden="false" customHeight="false" outlineLevel="0" collapsed="false">
      <c r="A1" s="1" t="s">
        <v>23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</row>
    <row r="4" customFormat="false" ht="21.75" hidden="false" customHeight="true" outlineLevel="0" collapsed="false">
      <c r="A4" s="7" t="s">
        <v>25</v>
      </c>
      <c r="B4" s="8"/>
      <c r="C4" s="8"/>
      <c r="D4" s="8"/>
      <c r="E4" s="8"/>
    </row>
    <row r="5" customFormat="false" ht="23.85" hidden="false" customHeight="true" outlineLevel="0" collapsed="false">
      <c r="A5" s="9" t="s">
        <v>26</v>
      </c>
      <c r="B5" s="10" t="s">
        <v>27</v>
      </c>
      <c r="C5" s="10"/>
      <c r="D5" s="10"/>
      <c r="E5" s="10"/>
    </row>
    <row r="6" customFormat="false" ht="15" hidden="false" customHeight="true" outlineLevel="0" collapsed="false">
      <c r="A6" s="11" t="s">
        <v>28</v>
      </c>
      <c r="B6" s="11" t="s">
        <v>29</v>
      </c>
      <c r="C6" s="11"/>
      <c r="D6" s="11"/>
      <c r="E6" s="11"/>
    </row>
    <row r="7" customFormat="false" ht="15" hidden="false" customHeight="false" outlineLevel="0" collapsed="false">
      <c r="A7" s="12" t="s">
        <v>30</v>
      </c>
      <c r="B7" s="12"/>
      <c r="C7" s="12"/>
      <c r="D7" s="12"/>
      <c r="E7" s="12"/>
    </row>
    <row r="9" customFormat="false" ht="21.75" hidden="false" customHeight="true" outlineLevel="0" collapsed="false">
      <c r="A9" s="7" t="s">
        <v>31</v>
      </c>
      <c r="B9" s="8"/>
      <c r="C9" s="8"/>
      <c r="D9" s="8"/>
      <c r="E9" s="8"/>
    </row>
    <row r="10" customFormat="false" ht="23.85" hidden="false" customHeight="true" outlineLevel="0" collapsed="false">
      <c r="A10" s="9" t="s">
        <v>26</v>
      </c>
      <c r="B10" s="10" t="s">
        <v>32</v>
      </c>
      <c r="C10" s="10"/>
      <c r="D10" s="10"/>
      <c r="E10" s="10"/>
    </row>
    <row r="11" customFormat="false" ht="15" hidden="false" customHeight="true" outlineLevel="0" collapsed="false">
      <c r="A11" s="11" t="s">
        <v>28</v>
      </c>
      <c r="B11" s="11" t="s">
        <v>33</v>
      </c>
      <c r="C11" s="11"/>
      <c r="D11" s="11"/>
      <c r="E11" s="11"/>
    </row>
    <row r="12" customFormat="false" ht="15" hidden="false" customHeight="true" outlineLevel="0" collapsed="false">
      <c r="A12" s="9" t="s">
        <v>34</v>
      </c>
      <c r="B12" s="10" t="s">
        <v>35</v>
      </c>
      <c r="C12" s="10"/>
      <c r="D12" s="10"/>
      <c r="E12" s="10"/>
    </row>
    <row r="13" customFormat="false" ht="15" hidden="false" customHeight="true" outlineLevel="0" collapsed="false">
      <c r="A13" s="11" t="s">
        <v>28</v>
      </c>
      <c r="B13" s="11" t="s">
        <v>36</v>
      </c>
      <c r="C13" s="11"/>
      <c r="D13" s="11"/>
      <c r="E13" s="11"/>
    </row>
    <row r="14" customFormat="false" ht="15" hidden="false" customHeight="false" outlineLevel="0" collapsed="false">
      <c r="A14" s="13" t="s">
        <v>37</v>
      </c>
      <c r="B14" s="13" t="s">
        <v>38</v>
      </c>
      <c r="C14" s="13" t="s">
        <v>39</v>
      </c>
      <c r="D14" s="13" t="s">
        <v>40</v>
      </c>
      <c r="E14" s="13" t="s">
        <v>41</v>
      </c>
    </row>
    <row r="15" customFormat="false" ht="15" hidden="false" customHeight="false" outlineLevel="0" collapsed="false">
      <c r="A15" s="10" t="s">
        <v>42</v>
      </c>
      <c r="B15" s="14" t="n">
        <v>1</v>
      </c>
      <c r="C15" s="15" t="n">
        <v>3</v>
      </c>
      <c r="D15" s="15" t="n">
        <f aca="false">B15*C15</f>
        <v>3</v>
      </c>
      <c r="E15" s="16" t="s">
        <v>43</v>
      </c>
    </row>
    <row r="16" customFormat="false" ht="15" hidden="false" customHeight="false" outlineLevel="0" collapsed="false">
      <c r="A16" s="10" t="s">
        <v>44</v>
      </c>
      <c r="B16" s="14" t="n">
        <v>1</v>
      </c>
      <c r="C16" s="15" t="n">
        <v>8</v>
      </c>
      <c r="D16" s="15" t="n">
        <f aca="false">B16*C16</f>
        <v>8</v>
      </c>
      <c r="E16" s="16" t="s">
        <v>45</v>
      </c>
    </row>
    <row r="17" customFormat="false" ht="15" hidden="false" customHeight="false" outlineLevel="0" collapsed="false">
      <c r="A17" s="10" t="s">
        <v>46</v>
      </c>
      <c r="B17" s="14" t="n">
        <v>2</v>
      </c>
      <c r="C17" s="15" t="n">
        <v>2</v>
      </c>
      <c r="D17" s="15" t="n">
        <f aca="false">B17*C17</f>
        <v>4</v>
      </c>
      <c r="E17" s="16" t="s">
        <v>45</v>
      </c>
    </row>
    <row r="18" customFormat="false" ht="23.85" hidden="false" customHeight="false" outlineLevel="0" collapsed="false">
      <c r="A18" s="10" t="s">
        <v>47</v>
      </c>
      <c r="B18" s="14" t="n">
        <v>1</v>
      </c>
      <c r="C18" s="15" t="n">
        <v>217</v>
      </c>
      <c r="D18" s="15" t="n">
        <f aca="false">B18*C18</f>
        <v>217</v>
      </c>
      <c r="E18" s="16" t="s">
        <v>48</v>
      </c>
    </row>
    <row r="19" customFormat="false" ht="15" hidden="false" customHeight="false" outlineLevel="0" collapsed="false">
      <c r="A19" s="17" t="s">
        <v>49</v>
      </c>
      <c r="B19" s="18"/>
      <c r="C19" s="18"/>
      <c r="D19" s="19" t="n">
        <f aca="false">SUM(D15:D18)</f>
        <v>232</v>
      </c>
      <c r="E19" s="18"/>
    </row>
    <row r="21" customFormat="false" ht="21.75" hidden="false" customHeight="true" outlineLevel="0" collapsed="false">
      <c r="A21" s="7" t="s">
        <v>50</v>
      </c>
      <c r="B21" s="8"/>
      <c r="C21" s="8"/>
      <c r="D21" s="8"/>
      <c r="E21" s="8"/>
    </row>
    <row r="22" customFormat="false" ht="15" hidden="false" customHeight="true" outlineLevel="0" collapsed="false">
      <c r="A22" s="9" t="s">
        <v>34</v>
      </c>
      <c r="B22" s="10" t="s">
        <v>51</v>
      </c>
      <c r="C22" s="10"/>
      <c r="D22" s="10"/>
      <c r="E22" s="10"/>
    </row>
    <row r="23" customFormat="false" ht="15" hidden="false" customHeight="true" outlineLevel="0" collapsed="false">
      <c r="A23" s="11" t="s">
        <v>28</v>
      </c>
      <c r="B23" s="11" t="s">
        <v>52</v>
      </c>
      <c r="C23" s="11"/>
      <c r="D23" s="11"/>
      <c r="E23" s="11"/>
    </row>
    <row r="24" customFormat="false" ht="15" hidden="false" customHeight="false" outlineLevel="0" collapsed="false">
      <c r="A24" s="13" t="s">
        <v>37</v>
      </c>
      <c r="B24" s="13" t="s">
        <v>38</v>
      </c>
      <c r="C24" s="13" t="s">
        <v>39</v>
      </c>
      <c r="D24" s="13" t="s">
        <v>40</v>
      </c>
      <c r="E24" s="13" t="s">
        <v>41</v>
      </c>
    </row>
    <row r="25" customFormat="false" ht="15" hidden="false" customHeight="false" outlineLevel="0" collapsed="false">
      <c r="A25" s="10" t="s">
        <v>53</v>
      </c>
      <c r="B25" s="14" t="n">
        <v>1</v>
      </c>
      <c r="C25" s="15" t="n">
        <v>25</v>
      </c>
      <c r="D25" s="15" t="n">
        <f aca="false">B25*C25</f>
        <v>25</v>
      </c>
      <c r="E25" s="16" t="s">
        <v>54</v>
      </c>
    </row>
    <row r="26" customFormat="false" ht="15" hidden="false" customHeight="false" outlineLevel="0" collapsed="false">
      <c r="A26" s="10" t="s">
        <v>55</v>
      </c>
      <c r="B26" s="14" t="n">
        <v>1</v>
      </c>
      <c r="C26" s="15" t="n">
        <v>20</v>
      </c>
      <c r="D26" s="15" t="n">
        <f aca="false">B26*C26</f>
        <v>20</v>
      </c>
      <c r="E26" s="16" t="s">
        <v>54</v>
      </c>
    </row>
    <row r="27" customFormat="false" ht="15" hidden="false" customHeight="false" outlineLevel="0" collapsed="false">
      <c r="A27" s="10" t="s">
        <v>56</v>
      </c>
      <c r="B27" s="14" t="n">
        <v>1</v>
      </c>
      <c r="C27" s="15" t="n">
        <v>30</v>
      </c>
      <c r="D27" s="15" t="n">
        <f aca="false">B27*C27</f>
        <v>30</v>
      </c>
      <c r="E27" s="16" t="s">
        <v>57</v>
      </c>
    </row>
    <row r="28" customFormat="false" ht="15" hidden="false" customHeight="false" outlineLevel="0" collapsed="false">
      <c r="A28" s="10" t="s">
        <v>58</v>
      </c>
      <c r="B28" s="14" t="n">
        <v>2</v>
      </c>
      <c r="C28" s="15" t="n">
        <v>12</v>
      </c>
      <c r="D28" s="15" t="n">
        <f aca="false">B28*C28</f>
        <v>24</v>
      </c>
      <c r="E28" s="16" t="s">
        <v>59</v>
      </c>
    </row>
    <row r="29" customFormat="false" ht="15" hidden="false" customHeight="false" outlineLevel="0" collapsed="false">
      <c r="A29" s="10" t="s">
        <v>60</v>
      </c>
      <c r="B29" s="14" t="n">
        <v>2</v>
      </c>
      <c r="C29" s="15" t="n">
        <v>35</v>
      </c>
      <c r="D29" s="15" t="n">
        <f aca="false">B29*C29</f>
        <v>70</v>
      </c>
      <c r="E29" s="16" t="s">
        <v>61</v>
      </c>
    </row>
    <row r="30" customFormat="false" ht="15" hidden="false" customHeight="false" outlineLevel="0" collapsed="false">
      <c r="A30" s="17" t="s">
        <v>49</v>
      </c>
      <c r="B30" s="18"/>
      <c r="C30" s="18"/>
      <c r="D30" s="19" t="n">
        <f aca="false">SUM(D25:D29)</f>
        <v>169</v>
      </c>
      <c r="E30" s="18"/>
    </row>
    <row r="32" customFormat="false" ht="21.75" hidden="false" customHeight="true" outlineLevel="0" collapsed="false">
      <c r="A32" s="7" t="s">
        <v>62</v>
      </c>
      <c r="B32" s="8"/>
      <c r="C32" s="8"/>
      <c r="D32" s="8"/>
      <c r="E32" s="8"/>
    </row>
    <row r="33" customFormat="false" ht="23.85" hidden="false" customHeight="true" outlineLevel="0" collapsed="false">
      <c r="A33" s="9" t="s">
        <v>63</v>
      </c>
      <c r="B33" s="10" t="s">
        <v>64</v>
      </c>
      <c r="C33" s="10"/>
      <c r="D33" s="10"/>
      <c r="E33" s="10"/>
    </row>
    <row r="34" customFormat="false" ht="15" hidden="false" customHeight="true" outlineLevel="0" collapsed="false">
      <c r="A34" s="11" t="s">
        <v>28</v>
      </c>
      <c r="B34" s="11" t="s">
        <v>65</v>
      </c>
      <c r="C34" s="11"/>
      <c r="D34" s="11"/>
      <c r="E34" s="11"/>
    </row>
    <row r="35" customFormat="false" ht="15" hidden="false" customHeight="false" outlineLevel="0" collapsed="false">
      <c r="A35" s="13" t="s">
        <v>37</v>
      </c>
      <c r="B35" s="13" t="s">
        <v>38</v>
      </c>
      <c r="C35" s="13" t="s">
        <v>39</v>
      </c>
      <c r="D35" s="13" t="s">
        <v>40</v>
      </c>
      <c r="E35" s="13" t="s">
        <v>41</v>
      </c>
    </row>
    <row r="36" customFormat="false" ht="22.35" hidden="false" customHeight="false" outlineLevel="0" collapsed="false">
      <c r="A36" s="10" t="s">
        <v>66</v>
      </c>
      <c r="B36" s="14" t="n">
        <v>1</v>
      </c>
      <c r="C36" s="15" t="n">
        <v>60</v>
      </c>
      <c r="D36" s="15" t="n">
        <f aca="false">B36*C36</f>
        <v>60</v>
      </c>
      <c r="E36" s="16" t="s">
        <v>67</v>
      </c>
    </row>
    <row r="37" customFormat="false" ht="15" hidden="false" customHeight="false" outlineLevel="0" collapsed="false">
      <c r="A37" s="10" t="s">
        <v>68</v>
      </c>
      <c r="B37" s="14" t="n">
        <v>2</v>
      </c>
      <c r="C37" s="15" t="n">
        <v>35</v>
      </c>
      <c r="D37" s="15" t="n">
        <f aca="false">B37*C37</f>
        <v>70</v>
      </c>
      <c r="E37" s="16" t="s">
        <v>61</v>
      </c>
    </row>
    <row r="38" customFormat="false" ht="15" hidden="false" customHeight="false" outlineLevel="0" collapsed="false">
      <c r="A38" s="17" t="s">
        <v>49</v>
      </c>
      <c r="B38" s="18"/>
      <c r="C38" s="18"/>
      <c r="D38" s="19" t="n">
        <f aca="false">SUM(D36:D37)</f>
        <v>130</v>
      </c>
      <c r="E38" s="18"/>
    </row>
    <row r="40" customFormat="false" ht="21.75" hidden="false" customHeight="true" outlineLevel="0" collapsed="false">
      <c r="A40" s="7" t="s">
        <v>69</v>
      </c>
      <c r="B40" s="8"/>
      <c r="C40" s="8"/>
      <c r="D40" s="8"/>
      <c r="E40" s="8"/>
    </row>
    <row r="41" customFormat="false" ht="23.85" hidden="false" customHeight="true" outlineLevel="0" collapsed="false">
      <c r="A41" s="9" t="s">
        <v>63</v>
      </c>
      <c r="B41" s="10" t="s">
        <v>70</v>
      </c>
      <c r="C41" s="10"/>
      <c r="D41" s="10"/>
      <c r="E41" s="10"/>
    </row>
    <row r="42" customFormat="false" ht="15" hidden="false" customHeight="true" outlineLevel="0" collapsed="false">
      <c r="A42" s="11" t="s">
        <v>28</v>
      </c>
      <c r="B42" s="11" t="s">
        <v>71</v>
      </c>
      <c r="C42" s="11"/>
      <c r="D42" s="11"/>
      <c r="E42" s="11"/>
    </row>
    <row r="43" customFormat="false" ht="15" hidden="false" customHeight="false" outlineLevel="0" collapsed="false">
      <c r="A43" s="13" t="s">
        <v>37</v>
      </c>
      <c r="B43" s="13" t="s">
        <v>38</v>
      </c>
      <c r="C43" s="13" t="s">
        <v>39</v>
      </c>
      <c r="D43" s="13" t="s">
        <v>40</v>
      </c>
      <c r="E43" s="13" t="s">
        <v>41</v>
      </c>
    </row>
    <row r="44" customFormat="false" ht="15" hidden="false" customHeight="false" outlineLevel="0" collapsed="false">
      <c r="A44" s="10" t="s">
        <v>72</v>
      </c>
      <c r="B44" s="14" t="n">
        <v>1</v>
      </c>
      <c r="C44" s="15" t="n">
        <v>45</v>
      </c>
      <c r="D44" s="15" t="n">
        <f aca="false">B44*C44</f>
        <v>45</v>
      </c>
      <c r="E44" s="16" t="s">
        <v>73</v>
      </c>
    </row>
    <row r="45" customFormat="false" ht="15" hidden="false" customHeight="false" outlineLevel="0" collapsed="false">
      <c r="A45" s="10" t="s">
        <v>74</v>
      </c>
      <c r="B45" s="14" t="n">
        <v>1</v>
      </c>
      <c r="C45" s="15" t="n">
        <v>35</v>
      </c>
      <c r="D45" s="15" t="n">
        <f aca="false">B45*C45</f>
        <v>35</v>
      </c>
      <c r="E45" s="16" t="s">
        <v>75</v>
      </c>
    </row>
    <row r="46" customFormat="false" ht="22.35" hidden="false" customHeight="false" outlineLevel="0" collapsed="false">
      <c r="A46" s="10" t="s">
        <v>76</v>
      </c>
      <c r="B46" s="14" t="n">
        <v>1</v>
      </c>
      <c r="C46" s="15" t="n">
        <v>25</v>
      </c>
      <c r="D46" s="15" t="n">
        <f aca="false">B46*C46</f>
        <v>25</v>
      </c>
      <c r="E46" s="16" t="s">
        <v>77</v>
      </c>
    </row>
    <row r="47" customFormat="false" ht="15" hidden="false" customHeight="false" outlineLevel="0" collapsed="false">
      <c r="A47" s="10" t="s">
        <v>78</v>
      </c>
      <c r="B47" s="14" t="n">
        <v>1</v>
      </c>
      <c r="C47" s="15" t="n">
        <v>18</v>
      </c>
      <c r="D47" s="15" t="n">
        <f aca="false">B47*C47</f>
        <v>18</v>
      </c>
      <c r="E47" s="16" t="s">
        <v>75</v>
      </c>
    </row>
    <row r="48" customFormat="false" ht="15" hidden="false" customHeight="false" outlineLevel="0" collapsed="false">
      <c r="A48" s="17" t="s">
        <v>49</v>
      </c>
      <c r="B48" s="18"/>
      <c r="C48" s="18"/>
      <c r="D48" s="19" t="n">
        <f aca="false">SUM(D44:D47)</f>
        <v>123</v>
      </c>
      <c r="E48" s="18"/>
    </row>
    <row r="50" customFormat="false" ht="21.75" hidden="false" customHeight="true" outlineLevel="0" collapsed="false">
      <c r="A50" s="7" t="s">
        <v>79</v>
      </c>
      <c r="B50" s="8"/>
      <c r="C50" s="8"/>
      <c r="D50" s="8"/>
      <c r="E50" s="8"/>
    </row>
    <row r="51" customFormat="false" ht="23.85" hidden="false" customHeight="true" outlineLevel="0" collapsed="false">
      <c r="A51" s="9" t="s">
        <v>80</v>
      </c>
      <c r="B51" s="10" t="s">
        <v>81</v>
      </c>
      <c r="C51" s="10"/>
      <c r="D51" s="10"/>
      <c r="E51" s="10"/>
    </row>
    <row r="52" customFormat="false" ht="15" hidden="false" customHeight="true" outlineLevel="0" collapsed="false">
      <c r="A52" s="11" t="s">
        <v>28</v>
      </c>
      <c r="B52" s="11" t="s">
        <v>82</v>
      </c>
      <c r="C52" s="11"/>
      <c r="D52" s="11"/>
      <c r="E52" s="11"/>
    </row>
    <row r="53" customFormat="false" ht="15" hidden="false" customHeight="true" outlineLevel="0" collapsed="false">
      <c r="A53" s="9" t="s">
        <v>34</v>
      </c>
      <c r="B53" s="10" t="s">
        <v>83</v>
      </c>
      <c r="C53" s="10"/>
      <c r="D53" s="10"/>
      <c r="E53" s="10"/>
    </row>
    <row r="54" customFormat="false" ht="15" hidden="false" customHeight="true" outlineLevel="0" collapsed="false">
      <c r="A54" s="11" t="s">
        <v>28</v>
      </c>
      <c r="B54" s="11" t="s">
        <v>84</v>
      </c>
      <c r="C54" s="11"/>
      <c r="D54" s="11"/>
      <c r="E54" s="11"/>
    </row>
    <row r="55" customFormat="false" ht="15" hidden="false" customHeight="false" outlineLevel="0" collapsed="false">
      <c r="A55" s="13" t="s">
        <v>37</v>
      </c>
      <c r="B55" s="13" t="s">
        <v>38</v>
      </c>
      <c r="C55" s="13" t="s">
        <v>39</v>
      </c>
      <c r="D55" s="13" t="s">
        <v>40</v>
      </c>
      <c r="E55" s="13" t="s">
        <v>41</v>
      </c>
    </row>
    <row r="56" customFormat="false" ht="22.35" hidden="false" customHeight="false" outlineLevel="0" collapsed="false">
      <c r="A56" s="10" t="s">
        <v>85</v>
      </c>
      <c r="B56" s="14" t="n">
        <v>3</v>
      </c>
      <c r="C56" s="15" t="n">
        <v>35</v>
      </c>
      <c r="D56" s="15" t="n">
        <f aca="false">B56*C56</f>
        <v>105</v>
      </c>
      <c r="E56" s="16" t="s">
        <v>86</v>
      </c>
    </row>
    <row r="57" customFormat="false" ht="15" hidden="false" customHeight="false" outlineLevel="0" collapsed="false">
      <c r="A57" s="10" t="s">
        <v>87</v>
      </c>
      <c r="B57" s="14" t="n">
        <v>1</v>
      </c>
      <c r="C57" s="15" t="n">
        <v>25</v>
      </c>
      <c r="D57" s="15" t="n">
        <f aca="false">B57*C57</f>
        <v>25</v>
      </c>
      <c r="E57" s="16" t="s">
        <v>57</v>
      </c>
    </row>
    <row r="58" customFormat="false" ht="15" hidden="false" customHeight="false" outlineLevel="0" collapsed="false">
      <c r="A58" s="10" t="s">
        <v>88</v>
      </c>
      <c r="B58" s="14" t="n">
        <v>1</v>
      </c>
      <c r="C58" s="15" t="n">
        <v>30</v>
      </c>
      <c r="D58" s="15" t="n">
        <f aca="false">B58*C58</f>
        <v>30</v>
      </c>
      <c r="E58" s="16" t="s">
        <v>59</v>
      </c>
    </row>
    <row r="59" customFormat="false" ht="15" hidden="false" customHeight="false" outlineLevel="0" collapsed="false">
      <c r="A59" s="10" t="s">
        <v>89</v>
      </c>
      <c r="B59" s="14" t="n">
        <v>1</v>
      </c>
      <c r="C59" s="15" t="n">
        <v>25</v>
      </c>
      <c r="D59" s="15" t="n">
        <f aca="false">B59*C59</f>
        <v>25</v>
      </c>
      <c r="E59" s="16" t="s">
        <v>90</v>
      </c>
    </row>
    <row r="60" customFormat="false" ht="15" hidden="false" customHeight="false" outlineLevel="0" collapsed="false">
      <c r="A60" s="10" t="s">
        <v>91</v>
      </c>
      <c r="B60" s="14" t="n">
        <v>1</v>
      </c>
      <c r="C60" s="15" t="n">
        <v>70</v>
      </c>
      <c r="D60" s="15" t="n">
        <f aca="false">B60*C60</f>
        <v>70</v>
      </c>
      <c r="E60" s="16" t="s">
        <v>75</v>
      </c>
    </row>
    <row r="61" customFormat="false" ht="15" hidden="false" customHeight="false" outlineLevel="0" collapsed="false">
      <c r="A61" s="10" t="s">
        <v>92</v>
      </c>
      <c r="B61" s="14" t="n">
        <v>1</v>
      </c>
      <c r="C61" s="15" t="n">
        <v>35</v>
      </c>
      <c r="D61" s="15" t="n">
        <f aca="false">B61*C61</f>
        <v>35</v>
      </c>
      <c r="E61" s="16" t="s">
        <v>93</v>
      </c>
    </row>
    <row r="62" customFormat="false" ht="15" hidden="false" customHeight="false" outlineLevel="0" collapsed="false">
      <c r="A62" s="17" t="s">
        <v>49</v>
      </c>
      <c r="B62" s="18"/>
      <c r="C62" s="18"/>
      <c r="D62" s="19" t="n">
        <f aca="false">SUM(D56:D61)</f>
        <v>290</v>
      </c>
      <c r="E62" s="18"/>
    </row>
    <row r="64" customFormat="false" ht="21.75" hidden="false" customHeight="true" outlineLevel="0" collapsed="false">
      <c r="A64" s="7" t="s">
        <v>94</v>
      </c>
      <c r="B64" s="8"/>
      <c r="C64" s="8"/>
      <c r="D64" s="8"/>
      <c r="E64" s="8"/>
    </row>
    <row r="65" customFormat="false" ht="15" hidden="false" customHeight="true" outlineLevel="0" collapsed="false">
      <c r="A65" s="9" t="s">
        <v>63</v>
      </c>
      <c r="B65" s="10" t="s">
        <v>95</v>
      </c>
      <c r="C65" s="10"/>
      <c r="D65" s="10"/>
      <c r="E65" s="10"/>
    </row>
    <row r="66" customFormat="false" ht="15" hidden="false" customHeight="true" outlineLevel="0" collapsed="false">
      <c r="A66" s="11" t="s">
        <v>28</v>
      </c>
      <c r="B66" s="11" t="s">
        <v>96</v>
      </c>
      <c r="C66" s="11"/>
      <c r="D66" s="11"/>
      <c r="E66" s="11"/>
    </row>
    <row r="67" customFormat="false" ht="15" hidden="false" customHeight="false" outlineLevel="0" collapsed="false">
      <c r="A67" s="13" t="s">
        <v>37</v>
      </c>
      <c r="B67" s="13" t="s">
        <v>38</v>
      </c>
      <c r="C67" s="13" t="s">
        <v>39</v>
      </c>
      <c r="D67" s="13" t="s">
        <v>40</v>
      </c>
      <c r="E67" s="13" t="s">
        <v>41</v>
      </c>
    </row>
    <row r="68" customFormat="false" ht="22.35" hidden="false" customHeight="false" outlineLevel="0" collapsed="false">
      <c r="A68" s="10" t="s">
        <v>97</v>
      </c>
      <c r="B68" s="14" t="n">
        <v>1</v>
      </c>
      <c r="C68" s="15" t="n">
        <v>650</v>
      </c>
      <c r="D68" s="15" t="n">
        <f aca="false">B68*C68</f>
        <v>650</v>
      </c>
      <c r="E68" s="16" t="s">
        <v>98</v>
      </c>
    </row>
    <row r="69" customFormat="false" ht="15" hidden="false" customHeight="false" outlineLevel="0" collapsed="false">
      <c r="A69" s="10" t="s">
        <v>99</v>
      </c>
      <c r="B69" s="14" t="n">
        <v>1</v>
      </c>
      <c r="C69" s="15" t="n">
        <v>60</v>
      </c>
      <c r="D69" s="15" t="n">
        <f aca="false">B69*C69</f>
        <v>60</v>
      </c>
      <c r="E69" s="16" t="s">
        <v>100</v>
      </c>
    </row>
    <row r="70" customFormat="false" ht="22.35" hidden="false" customHeight="false" outlineLevel="0" collapsed="false">
      <c r="A70" s="10" t="s">
        <v>101</v>
      </c>
      <c r="B70" s="14" t="n">
        <v>1</v>
      </c>
      <c r="C70" s="15" t="n">
        <v>150</v>
      </c>
      <c r="D70" s="15" t="n">
        <f aca="false">B70*C70</f>
        <v>150</v>
      </c>
      <c r="E70" s="16" t="s">
        <v>102</v>
      </c>
    </row>
    <row r="71" customFormat="false" ht="23.85" hidden="false" customHeight="false" outlineLevel="0" collapsed="false">
      <c r="A71" s="10" t="s">
        <v>103</v>
      </c>
      <c r="B71" s="14" t="n">
        <v>1</v>
      </c>
      <c r="C71" s="15" t="n">
        <v>20</v>
      </c>
      <c r="D71" s="15" t="n">
        <f aca="false">B71*C71</f>
        <v>20</v>
      </c>
      <c r="E71" s="16" t="s">
        <v>75</v>
      </c>
    </row>
    <row r="72" customFormat="false" ht="15" hidden="false" customHeight="false" outlineLevel="0" collapsed="false">
      <c r="A72" s="10" t="s">
        <v>104</v>
      </c>
      <c r="B72" s="14" t="n">
        <v>1</v>
      </c>
      <c r="C72" s="15" t="n">
        <v>15</v>
      </c>
      <c r="D72" s="15" t="n">
        <f aca="false">B72*C72</f>
        <v>15</v>
      </c>
      <c r="E72" s="16" t="s">
        <v>45</v>
      </c>
    </row>
    <row r="73" customFormat="false" ht="15" hidden="false" customHeight="false" outlineLevel="0" collapsed="false">
      <c r="A73" s="10" t="s">
        <v>105</v>
      </c>
      <c r="B73" s="14" t="n">
        <v>1</v>
      </c>
      <c r="C73" s="15" t="n">
        <v>15</v>
      </c>
      <c r="D73" s="15" t="n">
        <f aca="false">B73*C73</f>
        <v>15</v>
      </c>
      <c r="E73" s="16" t="s">
        <v>45</v>
      </c>
    </row>
    <row r="74" customFormat="false" ht="15" hidden="false" customHeight="false" outlineLevel="0" collapsed="false">
      <c r="A74" s="10" t="s">
        <v>106</v>
      </c>
      <c r="B74" s="14" t="n">
        <v>1</v>
      </c>
      <c r="C74" s="15" t="n">
        <v>40</v>
      </c>
      <c r="D74" s="15" t="n">
        <f aca="false">B74*C74</f>
        <v>40</v>
      </c>
      <c r="E74" s="16" t="s">
        <v>45</v>
      </c>
    </row>
    <row r="75" customFormat="false" ht="15" hidden="false" customHeight="false" outlineLevel="0" collapsed="false">
      <c r="A75" s="10" t="s">
        <v>107</v>
      </c>
      <c r="B75" s="14" t="n">
        <v>1</v>
      </c>
      <c r="C75" s="15" t="n">
        <v>80</v>
      </c>
      <c r="D75" s="15" t="n">
        <f aca="false">B75*C75</f>
        <v>80</v>
      </c>
      <c r="E75" s="16" t="s">
        <v>108</v>
      </c>
    </row>
    <row r="76" customFormat="false" ht="15" hidden="false" customHeight="false" outlineLevel="0" collapsed="false">
      <c r="A76" s="17" t="s">
        <v>49</v>
      </c>
      <c r="B76" s="18"/>
      <c r="C76" s="18"/>
      <c r="D76" s="19" t="n">
        <f aca="false">SUM(D68:D75)</f>
        <v>1030</v>
      </c>
      <c r="E76" s="18"/>
    </row>
    <row r="77" customFormat="false" ht="22.35" hidden="false" customHeight="true" outlineLevel="0" collapsed="false">
      <c r="A77" s="20" t="s">
        <v>109</v>
      </c>
      <c r="B77" s="21" t="s">
        <v>110</v>
      </c>
      <c r="C77" s="21"/>
      <c r="D77" s="21"/>
      <c r="E77" s="21"/>
    </row>
    <row r="79" customFormat="false" ht="21.75" hidden="false" customHeight="true" outlineLevel="0" collapsed="false">
      <c r="A79" s="7" t="s">
        <v>111</v>
      </c>
      <c r="B79" s="8"/>
      <c r="C79" s="8"/>
      <c r="D79" s="8"/>
      <c r="E79" s="8"/>
    </row>
    <row r="80" customFormat="false" ht="23.85" hidden="false" customHeight="true" outlineLevel="0" collapsed="false">
      <c r="A80" s="9" t="s">
        <v>112</v>
      </c>
      <c r="B80" s="10" t="s">
        <v>113</v>
      </c>
      <c r="C80" s="10"/>
      <c r="D80" s="10"/>
      <c r="E80" s="10"/>
    </row>
    <row r="81" customFormat="false" ht="22.35" hidden="false" customHeight="true" outlineLevel="0" collapsed="false">
      <c r="A81" s="11" t="s">
        <v>28</v>
      </c>
      <c r="B81" s="11" t="s">
        <v>114</v>
      </c>
      <c r="C81" s="11"/>
      <c r="D81" s="11"/>
      <c r="E81" s="11"/>
    </row>
    <row r="82" customFormat="false" ht="15" hidden="false" customHeight="false" outlineLevel="0" collapsed="false">
      <c r="A82" s="13" t="s">
        <v>37</v>
      </c>
      <c r="B82" s="13" t="s">
        <v>38</v>
      </c>
      <c r="C82" s="13" t="s">
        <v>39</v>
      </c>
      <c r="D82" s="13" t="s">
        <v>40</v>
      </c>
      <c r="E82" s="13" t="s">
        <v>41</v>
      </c>
    </row>
    <row r="83" customFormat="false" ht="15" hidden="false" customHeight="false" outlineLevel="0" collapsed="false">
      <c r="A83" s="10" t="s">
        <v>115</v>
      </c>
      <c r="B83" s="14" t="n">
        <v>1</v>
      </c>
      <c r="C83" s="15" t="n">
        <v>40</v>
      </c>
      <c r="D83" s="15" t="n">
        <f aca="false">B83*C83</f>
        <v>40</v>
      </c>
      <c r="E83" s="16" t="s">
        <v>90</v>
      </c>
    </row>
    <row r="84" customFormat="false" ht="15" hidden="false" customHeight="false" outlineLevel="0" collapsed="false">
      <c r="A84" s="10" t="s">
        <v>116</v>
      </c>
      <c r="B84" s="14" t="n">
        <v>1</v>
      </c>
      <c r="C84" s="15" t="n">
        <v>15</v>
      </c>
      <c r="D84" s="15" t="n">
        <f aca="false">B84*C84</f>
        <v>15</v>
      </c>
      <c r="E84" s="16" t="s">
        <v>75</v>
      </c>
    </row>
    <row r="85" customFormat="false" ht="15" hidden="false" customHeight="false" outlineLevel="0" collapsed="false">
      <c r="A85" s="17" t="s">
        <v>49</v>
      </c>
      <c r="B85" s="18"/>
      <c r="C85" s="18"/>
      <c r="D85" s="19" t="n">
        <f aca="false">SUM(D83:D84)</f>
        <v>55</v>
      </c>
      <c r="E85" s="18"/>
    </row>
    <row r="87" customFormat="false" ht="24" hidden="false" customHeight="true" outlineLevel="0" collapsed="false">
      <c r="A87" s="22" t="s">
        <v>117</v>
      </c>
      <c r="B87" s="8"/>
      <c r="C87" s="8"/>
      <c r="D87" s="23" t="n">
        <f aca="false">D19+D30+D38+D48+D62+D76+D85</f>
        <v>2029</v>
      </c>
      <c r="E87" s="8"/>
    </row>
  </sheetData>
  <mergeCells count="24">
    <mergeCell ref="A1:E1"/>
    <mergeCell ref="A2:E2"/>
    <mergeCell ref="B5:E5"/>
    <mergeCell ref="B6:E6"/>
    <mergeCell ref="A7:E7"/>
    <mergeCell ref="B10:E10"/>
    <mergeCell ref="B11:E11"/>
    <mergeCell ref="B12:E12"/>
    <mergeCell ref="B13:E13"/>
    <mergeCell ref="B22:E22"/>
    <mergeCell ref="B23:E23"/>
    <mergeCell ref="B33:E33"/>
    <mergeCell ref="B34:E34"/>
    <mergeCell ref="B41:E41"/>
    <mergeCell ref="B42:E42"/>
    <mergeCell ref="B51:E51"/>
    <mergeCell ref="B52:E52"/>
    <mergeCell ref="B53:E53"/>
    <mergeCell ref="B54:E54"/>
    <mergeCell ref="B65:E65"/>
    <mergeCell ref="B66:E66"/>
    <mergeCell ref="B77:E77"/>
    <mergeCell ref="B80:E80"/>
    <mergeCell ref="B81:E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2026-08-10T22:09:49Z</dcterms:created>
  <dc:creator>openpyxl</dc:creator>
  <dc:description/>
  <dc:language>en-US</dc:language>
  <cp:lastModifiedBy/>
  <dcterms:modified xsi:type="dcterms:W3CDTF">2026-08-10T22:09:49Z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